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niversity of Dayton\Reseach in UD\new_graphs_july\Final results\"/>
    </mc:Choice>
  </mc:AlternateContent>
  <xr:revisionPtr revIDLastSave="0" documentId="13_ncr:1_{AB2CB467-14D8-4BFD-B227-93C2E265457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epth" sheetId="3" r:id="rId1"/>
    <sheet name="Overlap_depth" sheetId="5" r:id="rId2"/>
    <sheet name="Width" sheetId="4" r:id="rId3"/>
    <sheet name="Overlap_width" sheetId="6" r:id="rId4"/>
    <sheet name="error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3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<sst xmlns="http://schemas.openxmlformats.org/spreadsheetml/2006/main" count="26" uniqueCount="14">
  <si>
    <t>Experiment</t>
  </si>
  <si>
    <t>Simulation</t>
  </si>
  <si>
    <t>% Error</t>
  </si>
  <si>
    <t xml:space="preserve">Pad depth (µm) </t>
  </si>
  <si>
    <t xml:space="preserve">Pad overlap depth (µm) </t>
  </si>
  <si>
    <t xml:space="preserve">Pad width (µm) </t>
  </si>
  <si>
    <t xml:space="preserve">Pad overlap width (µm) </t>
  </si>
  <si>
    <t>Time Above Melt (s)</t>
  </si>
  <si>
    <t>Solid Cooling Rate (°C/s)</t>
  </si>
  <si>
    <t>Double conical</t>
  </si>
  <si>
    <t>Single conical</t>
  </si>
  <si>
    <t>Experiment standard deviation (%)</t>
  </si>
  <si>
    <t>Track id</t>
  </si>
  <si>
    <t>Double Conical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</si>
</sst>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93A2-AF33-4DD8-AB8E-AE5367FC8E0B}">
  <dimension ref="A1:K3"/>
  <sheetViews>
    <sheetView workbookViewId="0">
      <selection sqref="A1:XFD3"/>
    </sheetView>
  </sheetViews>
  <sheetFormatPr defaultRowHeight="14.4" x14ac:dyDescent="0.3"/>
  <cols>
    <col min="1" max="1" width="15.77734375" customWidth="1"/>
  </cols>
  <sheetData>
    <row r="1" spans="1:11" x14ac:dyDescent="0.3">
      <c r="A1" t="s">
        <v>12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10</v>
      </c>
      <c r="B2">
        <v>141.27000000000001</v>
      </c>
      <c r="C2">
        <v>142.78</v>
      </c>
      <c r="D2">
        <v>155.54</v>
      </c>
      <c r="E2">
        <v>152.62</v>
      </c>
      <c r="F2">
        <v>156.46</v>
      </c>
      <c r="G2">
        <v>153.12</v>
      </c>
      <c r="H2">
        <v>156.81</v>
      </c>
      <c r="I2">
        <v>153.47999999999999</v>
      </c>
      <c r="J2">
        <v>165.9</v>
      </c>
      <c r="K2">
        <v>162.54</v>
      </c>
    </row>
    <row r="3" spans="1:11" x14ac:dyDescent="0.3">
      <c r="A3" t="s">
        <v>13</v>
      </c>
      <c r="B3">
        <v>141.30000000000001</v>
      </c>
      <c r="C3">
        <v>142.1</v>
      </c>
      <c r="D3">
        <v>154.19999999999999</v>
      </c>
      <c r="E3">
        <v>151.5</v>
      </c>
      <c r="F3">
        <v>154.80000000000001</v>
      </c>
      <c r="G3">
        <v>151.69999999999999</v>
      </c>
      <c r="H3">
        <v>154.9</v>
      </c>
      <c r="I3">
        <v>151.80000000000001</v>
      </c>
      <c r="J3">
        <v>164</v>
      </c>
      <c r="K3">
        <v>160.80000000000001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7C4A-1309-4A2A-8E36-B04B008A66ED}">
  <dimension ref="A1:J3"/>
  <sheetViews>
    <sheetView workbookViewId="0">
      <selection activeCell="N4" sqref="N4"/>
    </sheetView>
  </sheetViews>
  <sheetFormatPr defaultRowHeight="14.4" x14ac:dyDescent="0.3"/>
  <cols>
    <col min="1" max="1" width="30.6640625" customWidth="1"/>
  </cols>
  <sheetData>
    <row r="1" spans="1:10" x14ac:dyDescent="0.3">
      <c r="A1" t="s">
        <v>12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">
      <c r="A2" t="s">
        <v>10</v>
      </c>
      <c r="B2">
        <v>80.150000000000006</v>
      </c>
      <c r="C2">
        <v>97.79</v>
      </c>
      <c r="D2">
        <v>98.45</v>
      </c>
      <c r="E2">
        <v>103.84</v>
      </c>
      <c r="F2">
        <v>101.71</v>
      </c>
      <c r="G2">
        <v>105.71</v>
      </c>
      <c r="H2">
        <v>103.17</v>
      </c>
      <c r="I2">
        <v>109.1</v>
      </c>
      <c r="J2">
        <v>107.58</v>
      </c>
    </row>
    <row r="3" spans="1:10" x14ac:dyDescent="0.3">
      <c r="A3" t="s">
        <v>13</v>
      </c>
      <c r="B3">
        <v>59.7</v>
      </c>
      <c r="C3">
        <v>75.900000000000006</v>
      </c>
      <c r="D3">
        <v>75.2</v>
      </c>
      <c r="E3">
        <v>80.8</v>
      </c>
      <c r="F3">
        <v>77.900000000000006</v>
      </c>
      <c r="G3">
        <v>82</v>
      </c>
      <c r="H3">
        <v>79.099999999999994</v>
      </c>
      <c r="I3">
        <v>83.8</v>
      </c>
      <c r="J3">
        <v>81.3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218E-3815-488D-8AB8-FF4CFAC7D9EB}">
  <dimension ref="A1:K3"/>
  <sheetViews>
    <sheetView workbookViewId="0">
      <selection sqref="A1:XFD3"/>
    </sheetView>
  </sheetViews>
  <sheetFormatPr defaultRowHeight="14.4" x14ac:dyDescent="0.3"/>
  <cols>
    <col min="1" max="1" width="18.44140625" customWidth="1"/>
  </cols>
  <sheetData>
    <row r="1" spans="1:11" x14ac:dyDescent="0.3">
      <c r="A1" t="s">
        <v>12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10</v>
      </c>
      <c r="B2">
        <v>68.91</v>
      </c>
      <c r="C2">
        <v>72.260000000000005</v>
      </c>
      <c r="D2">
        <v>85.63</v>
      </c>
      <c r="E2">
        <v>74.430000000000007</v>
      </c>
      <c r="F2">
        <v>88.34</v>
      </c>
      <c r="G2">
        <v>75.08</v>
      </c>
      <c r="H2">
        <v>89.19</v>
      </c>
      <c r="I2">
        <v>75.680000000000007</v>
      </c>
      <c r="J2">
        <v>89.87</v>
      </c>
      <c r="K2">
        <v>76.400000000000006</v>
      </c>
    </row>
    <row r="3" spans="1:11" x14ac:dyDescent="0.3">
      <c r="A3" t="s">
        <v>13</v>
      </c>
      <c r="B3">
        <v>67.7</v>
      </c>
      <c r="C3">
        <v>70.599999999999994</v>
      </c>
      <c r="D3">
        <v>81.3</v>
      </c>
      <c r="E3">
        <v>73.459999999999994</v>
      </c>
      <c r="F3">
        <v>83.8</v>
      </c>
      <c r="G3">
        <v>74.3</v>
      </c>
      <c r="H3">
        <v>84.7</v>
      </c>
      <c r="I3">
        <v>75</v>
      </c>
      <c r="J3">
        <v>85.5</v>
      </c>
      <c r="K3">
        <v>75.5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DF72-28FA-449D-B412-2EF332E77E60}">
  <dimension ref="A1:J3"/>
  <sheetViews>
    <sheetView workbookViewId="0">
      <selection activeCell="K1" sqref="K1:K1048576"/>
    </sheetView>
  </sheetViews>
  <sheetFormatPr defaultRowHeight="14.4" x14ac:dyDescent="0.3"/>
  <cols>
    <col min="1" max="1" width="20.33203125" customWidth="1"/>
  </cols>
  <sheetData>
    <row r="1" spans="1:10" x14ac:dyDescent="0.3">
      <c r="A1" t="s">
        <v>12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">
      <c r="A2" t="s">
        <v>10</v>
      </c>
      <c r="B2">
        <v>106.58</v>
      </c>
      <c r="C2">
        <v>96.65</v>
      </c>
      <c r="D2">
        <v>121.15</v>
      </c>
      <c r="E2">
        <v>96.14</v>
      </c>
      <c r="F2">
        <v>123.16</v>
      </c>
      <c r="G2">
        <v>96.01</v>
      </c>
      <c r="H2">
        <v>123.47</v>
      </c>
      <c r="I2">
        <v>95.74</v>
      </c>
      <c r="J2">
        <v>123.56</v>
      </c>
    </row>
    <row r="3" spans="1:10" x14ac:dyDescent="0.3">
      <c r="A3" t="s">
        <v>13</v>
      </c>
      <c r="B3">
        <v>107.1</v>
      </c>
      <c r="C3">
        <v>99.26</v>
      </c>
      <c r="D3">
        <v>118.17</v>
      </c>
      <c r="E3">
        <v>99.38</v>
      </c>
      <c r="F3">
        <v>119.5</v>
      </c>
      <c r="G3">
        <v>99.6</v>
      </c>
      <c r="H3">
        <v>119.77</v>
      </c>
      <c r="I3">
        <v>99.47</v>
      </c>
      <c r="J3">
        <v>119.98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20" sqref="D20"/>
    </sheetView>
  </sheetViews>
  <sheetFormatPr defaultColWidth="24" defaultRowHeight="14.4" x14ac:dyDescent="0.3"/>
  <sheetData>
    <row r="1" spans="1:7" x14ac:dyDescent="0.3">
      <c r="C1" s="4" t="s">
        <v>11</v>
      </c>
      <c r="D1" s="3" t="s">
        <v>9</v>
      </c>
      <c r="E1" s="3"/>
      <c r="F1" s="3" t="s">
        <v>10</v>
      </c>
      <c r="G1" s="3"/>
    </row>
    <row r="2" spans="1:7" x14ac:dyDescent="0.3">
      <c r="B2" t="s">
        <v>0</v>
      </c>
      <c r="C2" s="4"/>
      <c r="D2" t="s">
        <v>1</v>
      </c>
      <c r="E2" t="s">
        <v>2</v>
      </c>
      <c r="F2" t="s">
        <v>1</v>
      </c>
      <c r="G2" t="s">
        <v>2</v>
      </c>
    </row>
    <row r="3" spans="1:7" x14ac:dyDescent="0.3">
      <c r="A3" t="s">
        <v>3</v>
      </c>
      <c r="B3" s="1">
        <v>159.6</v>
      </c>
      <c r="C3" s="1">
        <v>3.3834586466165417</v>
      </c>
      <c r="D3" s="1">
        <v>164.61</v>
      </c>
      <c r="E3" s="1">
        <f>ABS((D3-B3)/B3*100)</f>
        <v>3.1390977443609143</v>
      </c>
      <c r="F3" s="1">
        <v>167.1</v>
      </c>
      <c r="G3" s="1">
        <f>ABS((F3-B3)/B3*100)</f>
        <v>4.6992481203007523</v>
      </c>
    </row>
    <row r="4" spans="1:7" x14ac:dyDescent="0.3">
      <c r="A4" t="s">
        <v>4</v>
      </c>
      <c r="B4" s="1">
        <v>83.9</v>
      </c>
      <c r="C4" s="1">
        <v>15.137067938021453</v>
      </c>
      <c r="D4" s="1">
        <v>81.47</v>
      </c>
      <c r="E4" s="1">
        <f t="shared" ref="E4:E8" si="0">ABS((D4-B4)/B4*100)</f>
        <v>2.8963051251489946</v>
      </c>
      <c r="F4" s="1">
        <v>107.39</v>
      </c>
      <c r="G4" s="1">
        <f t="shared" ref="G4:G8" si="1">ABS((F4-B4)/B4*100)</f>
        <v>27.997616209773529</v>
      </c>
    </row>
    <row r="5" spans="1:7" x14ac:dyDescent="0.3">
      <c r="A5" t="s">
        <v>5</v>
      </c>
      <c r="B5" s="1">
        <v>93.1</v>
      </c>
      <c r="C5" s="1">
        <v>4.9409237379162185</v>
      </c>
      <c r="D5" s="1">
        <v>80.38</v>
      </c>
      <c r="E5" s="1">
        <f t="shared" si="0"/>
        <v>13.662728249194414</v>
      </c>
      <c r="F5" s="1">
        <v>82.62</v>
      </c>
      <c r="G5" s="1">
        <f t="shared" si="1"/>
        <v>11.256713211600418</v>
      </c>
    </row>
    <row r="6" spans="1:7" x14ac:dyDescent="0.3">
      <c r="A6" t="s">
        <v>6</v>
      </c>
      <c r="B6" s="1">
        <v>104.55</v>
      </c>
      <c r="C6" s="1">
        <v>14.82544237207078</v>
      </c>
      <c r="D6" s="1">
        <v>114.08</v>
      </c>
      <c r="E6" s="1">
        <f t="shared" si="0"/>
        <v>9.1152558584409391</v>
      </c>
      <c r="F6" s="1">
        <v>115.35</v>
      </c>
      <c r="G6" s="1">
        <f t="shared" si="1"/>
        <v>10.329985652797703</v>
      </c>
    </row>
    <row r="7" spans="1:7" x14ac:dyDescent="0.3">
      <c r="A7" t="s">
        <v>7</v>
      </c>
      <c r="B7" s="2">
        <v>1.1999999999999999E-3</v>
      </c>
      <c r="C7" s="1">
        <v>18.666666666666668</v>
      </c>
      <c r="D7" s="2">
        <v>1.1999999999999999E-3</v>
      </c>
      <c r="E7" s="1">
        <f t="shared" si="0"/>
        <v>0</v>
      </c>
      <c r="F7" s="2">
        <v>1.3699999999999999E-3</v>
      </c>
      <c r="G7" s="1">
        <f t="shared" si="1"/>
        <v>14.16666666666667</v>
      </c>
    </row>
    <row r="8" spans="1:7" x14ac:dyDescent="0.3">
      <c r="A8" t="s">
        <v>8</v>
      </c>
      <c r="B8" s="2">
        <v>324000</v>
      </c>
      <c r="C8" s="1">
        <v>53.086419753086425</v>
      </c>
      <c r="D8" s="2">
        <v>483000</v>
      </c>
      <c r="E8" s="1">
        <f t="shared" si="0"/>
        <v>49.074074074074076</v>
      </c>
      <c r="F8" s="2">
        <v>420000</v>
      </c>
      <c r="G8" s="1">
        <f t="shared" si="1"/>
        <v>29.629629629629626</v>
      </c>
    </row>
  </sheetData>
  <mergeCells count="3">
    <mergeCell ref="F1:G1"/>
    <mergeCell ref="D1:E1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Depth</vt:lpstr>
      <vt:lpstr>Overlap_depth</vt:lpstr>
      <vt:lpstr>Width</vt:lpstr>
      <vt:lpstr>Overlap_width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smalt</dc:creator>
  <cp:lastModifiedBy>Rathun, Rahul Singha</cp:lastModifiedBy>
  <dcterms:created xsi:type="dcterms:W3CDTF">2015-06-05T18:17:20Z</dcterms:created>
  <dcterms:modified xsi:type="dcterms:W3CDTF">2026-08-31T04:19:18Z</dcterms:modified>
</cp:coreProperties>
</file>