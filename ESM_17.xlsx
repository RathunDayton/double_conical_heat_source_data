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4F7904B-0A54-4C0F-99C3-E208305F5C5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fo" sheetId="3" r:id="rId1"/>
    <sheet name="Double_conical" sheetId="1" r:id="rId2"/>
    <sheet name="Single_conica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D27" i="2"/>
  <c r="C27" i="2"/>
  <c r="B27" i="2"/>
  <c r="E27" i="1"/>
  <c r="D27" i="1"/>
  <c r="C27" i="1"/>
  <c r="B27" i="1"/>
</calcChain>
</file>

<file path=xl/sharedStrings.xml><?xml version="1.0" encoding="utf-8"?>
<sst xmlns="http://schemas.openxmlformats.org/spreadsheetml/2006/main" count="45" uniqueCount="39">
  <si>
    <t>point</t>
  </si>
  <si>
    <t>SCR (C/s)</t>
  </si>
  <si>
    <t>TCR(C/s)</t>
  </si>
  <si>
    <t>LCR(C/s)</t>
  </si>
  <si>
    <t>TAM(s)</t>
  </si>
  <si>
    <t>sim avg</t>
  </si>
  <si>
    <t>Simulation / Data Information</t>
  </si>
  <si>
    <t>Item</t>
  </si>
  <si>
    <t>Information</t>
  </si>
  <si>
    <t>Online Resource</t>
  </si>
  <si>
    <t>ESM_17</t>
  </si>
  <si>
    <t>Benchmark</t>
  </si>
  <si>
    <t>NIST AM-Bench 2022</t>
  </si>
  <si>
    <t>Simulation case</t>
  </si>
  <si>
    <t>Single-track Case 0</t>
  </si>
  <si>
    <t>Heat-source models</t>
  </si>
  <si>
    <t>Single-conical and Double Conical Heat Source (DCHS)</t>
  </si>
  <si>
    <t>Track length</t>
  </si>
  <si>
    <t>2 mm</t>
  </si>
  <si>
    <t>Laser power</t>
  </si>
  <si>
    <t>285 W</t>
  </si>
  <si>
    <t>Scan speed</t>
  </si>
  <si>
    <t>960 mm/s</t>
  </si>
  <si>
    <t>Laser spot diameter</t>
  </si>
  <si>
    <t>67 µm</t>
  </si>
  <si>
    <t>Data included</t>
  </si>
  <si>
    <t>Solid cooling rate (SCR), transitional cooling rate (TCR), liquid cooling rate (LCR), and time above melt (TAM) at multiple monitoring points</t>
  </si>
  <si>
    <t>Purpose</t>
  </si>
  <si>
    <t>Thermal-metric validation of the AM-Bench 2022 single-track model and comparison of the single-conical and DCHS models</t>
  </si>
  <si>
    <t>Related simulation videos</t>
  </si>
  <si>
    <t>ESM_1 and ESM_2</t>
  </si>
  <si>
    <t>Related temperature-history videos</t>
  </si>
  <si>
    <t>ESM_8 and ESM_9</t>
  </si>
  <si>
    <t>Related manuscript section</t>
  </si>
  <si>
    <t>AM-Bench 2022 single-track validation</t>
  </si>
  <si>
    <t>Note</t>
  </si>
  <si>
    <t>The workbook provides point-wise thermal metrics obtained from the simulated temperature histories for both heat-source models.</t>
  </si>
  <si>
    <t>Coordinates of points</t>
  </si>
  <si>
    <t>ESM_22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</si>
</sst>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A17" sqref="A17:B17"/>
    </sheetView>
  </sheetViews>
  <sheetFormatPr defaultRowHeight="14.4" x14ac:dyDescent="0.3"/>
  <cols>
    <col min="1" max="1" width="34.109375" style="2" customWidth="1"/>
    <col min="2" max="2" width="54.21875" style="2" customWidth="1"/>
    <col min="3" max="26" width="13.5546875" style="2" customWidth="1"/>
    <col min="27" max="16384" width="8.88671875" style="2"/>
  </cols>
  <sheetData>
    <row r="1" spans="1:2" x14ac:dyDescent="0.3">
      <c r="A1" s="5" t="s">
        <v>6</v>
      </c>
      <c r="B1" s="5"/>
    </row>
    <row r="2" spans="1:2" x14ac:dyDescent="0.3">
      <c r="A2" s="3" t="s">
        <v>7</v>
      </c>
      <c r="B2" s="3" t="s">
        <v>8</v>
      </c>
    </row>
    <row r="3" spans="1:2" x14ac:dyDescent="0.3">
      <c r="A3" s="4" t="s">
        <v>9</v>
      </c>
      <c r="B3" s="1" t="s">
        <v>10</v>
      </c>
    </row>
    <row r="4" spans="1:2" x14ac:dyDescent="0.3">
      <c r="A4" s="4" t="s">
        <v>11</v>
      </c>
      <c r="B4" s="1" t="s">
        <v>12</v>
      </c>
    </row>
    <row r="5" spans="1:2" x14ac:dyDescent="0.3">
      <c r="A5" s="4" t="s">
        <v>13</v>
      </c>
      <c r="B5" s="1" t="s">
        <v>14</v>
      </c>
    </row>
    <row r="6" spans="1:2" x14ac:dyDescent="0.3">
      <c r="A6" s="4" t="s">
        <v>15</v>
      </c>
      <c r="B6" s="1" t="s">
        <v>16</v>
      </c>
    </row>
    <row r="7" spans="1:2" x14ac:dyDescent="0.3">
      <c r="A7" s="4" t="s">
        <v>17</v>
      </c>
      <c r="B7" s="1" t="s">
        <v>18</v>
      </c>
    </row>
    <row r="8" spans="1:2" x14ac:dyDescent="0.3">
      <c r="A8" s="4" t="s">
        <v>19</v>
      </c>
      <c r="B8" s="1" t="s">
        <v>20</v>
      </c>
    </row>
    <row r="9" spans="1:2" x14ac:dyDescent="0.3">
      <c r="A9" s="4" t="s">
        <v>21</v>
      </c>
      <c r="B9" s="1" t="s">
        <v>22</v>
      </c>
    </row>
    <row r="10" spans="1:2" x14ac:dyDescent="0.3">
      <c r="A10" s="4" t="s">
        <v>23</v>
      </c>
      <c r="B10" s="1" t="s">
        <v>24</v>
      </c>
    </row>
    <row r="11" spans="1:2" ht="43.2" x14ac:dyDescent="0.3">
      <c r="A11" s="4" t="s">
        <v>25</v>
      </c>
      <c r="B11" s="1" t="s">
        <v>26</v>
      </c>
    </row>
    <row r="12" spans="1:2" ht="28.8" x14ac:dyDescent="0.3">
      <c r="A12" s="4" t="s">
        <v>27</v>
      </c>
      <c r="B12" s="1" t="s">
        <v>28</v>
      </c>
    </row>
    <row r="13" spans="1:2" x14ac:dyDescent="0.3">
      <c r="A13" s="4" t="s">
        <v>29</v>
      </c>
      <c r="B13" s="1" t="s">
        <v>30</v>
      </c>
    </row>
    <row r="14" spans="1:2" x14ac:dyDescent="0.3">
      <c r="A14" s="4" t="s">
        <v>31</v>
      </c>
      <c r="B14" s="1" t="s">
        <v>32</v>
      </c>
    </row>
    <row r="15" spans="1:2" x14ac:dyDescent="0.3">
      <c r="A15" s="4" t="s">
        <v>33</v>
      </c>
      <c r="B15" s="1" t="s">
        <v>34</v>
      </c>
    </row>
    <row r="16" spans="1:2" x14ac:dyDescent="0.3">
      <c r="A16" s="4" t="s">
        <v>37</v>
      </c>
      <c r="B16" s="1" t="s">
        <v>38</v>
      </c>
    </row>
    <row r="17" spans="1:2" ht="43.2" x14ac:dyDescent="0.3">
      <c r="A17" s="4" t="s">
        <v>35</v>
      </c>
      <c r="B17" s="1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B1" sqref="B1:E1048576"/>
    </sheetView>
  </sheetViews>
  <sheetFormatPr defaultRowHeight="14.4" x14ac:dyDescent="0.3"/>
  <cols>
    <col min="1" max="1" width="13.5546875" customWidth="1"/>
    <col min="2" max="5" width="13.5546875" style="6" customWidth="1"/>
    <col min="6" max="24" width="13.5546875" customWidth="1"/>
  </cols>
  <sheetData>
    <row r="1" spans="1:5" x14ac:dyDescent="0.3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>
        <v>0</v>
      </c>
      <c r="B2" s="7">
        <v>-874100</v>
      </c>
      <c r="C2" s="7">
        <v>-259100</v>
      </c>
      <c r="D2" s="7">
        <v>-430100</v>
      </c>
      <c r="E2" s="6">
        <v>1.1800000000000001E-3</v>
      </c>
    </row>
    <row r="3" spans="1:5" x14ac:dyDescent="0.3">
      <c r="A3">
        <v>1</v>
      </c>
      <c r="B3" s="7">
        <v>-903600</v>
      </c>
      <c r="C3" s="7">
        <v>-259400</v>
      </c>
      <c r="D3" s="7">
        <v>-451500</v>
      </c>
      <c r="E3" s="6">
        <v>1.17E-3</v>
      </c>
    </row>
    <row r="4" spans="1:5" x14ac:dyDescent="0.3">
      <c r="A4">
        <v>2</v>
      </c>
      <c r="B4" s="7">
        <v>-877100</v>
      </c>
      <c r="C4" s="7">
        <v>-266400</v>
      </c>
      <c r="D4" s="7">
        <v>-439100</v>
      </c>
      <c r="E4" s="6">
        <v>1.15E-3</v>
      </c>
    </row>
    <row r="5" spans="1:5" x14ac:dyDescent="0.3">
      <c r="A5">
        <v>3</v>
      </c>
      <c r="B5" s="7">
        <v>-903800</v>
      </c>
      <c r="C5" s="7">
        <v>-259400</v>
      </c>
      <c r="D5" s="7">
        <v>-451500</v>
      </c>
      <c r="E5" s="6">
        <v>1.17E-3</v>
      </c>
    </row>
    <row r="6" spans="1:5" x14ac:dyDescent="0.3">
      <c r="A6">
        <v>4</v>
      </c>
      <c r="B6" s="7">
        <v>-877100</v>
      </c>
      <c r="C6" s="7">
        <v>-266500</v>
      </c>
      <c r="D6" s="7">
        <v>-439000</v>
      </c>
      <c r="E6" s="6">
        <v>1.15E-3</v>
      </c>
    </row>
    <row r="7" spans="1:5" x14ac:dyDescent="0.3">
      <c r="A7">
        <v>5</v>
      </c>
      <c r="B7" s="7">
        <v>-918800</v>
      </c>
      <c r="C7" s="7">
        <v>-246500</v>
      </c>
      <c r="D7" s="7">
        <v>-451300</v>
      </c>
      <c r="E7" s="7">
        <v>1.1800000000000001E-3</v>
      </c>
    </row>
    <row r="8" spans="1:5" x14ac:dyDescent="0.3">
      <c r="A8">
        <v>6</v>
      </c>
      <c r="B8" s="7">
        <v>-882600</v>
      </c>
      <c r="C8" s="7">
        <v>-266300</v>
      </c>
      <c r="D8" s="7">
        <v>-438900</v>
      </c>
      <c r="E8" s="7">
        <v>1.17E-3</v>
      </c>
    </row>
    <row r="9" spans="1:5" x14ac:dyDescent="0.3">
      <c r="A9">
        <v>7</v>
      </c>
      <c r="B9" s="7">
        <v>-865000</v>
      </c>
      <c r="C9" s="7">
        <v>-266800</v>
      </c>
      <c r="D9" s="7">
        <v>-444400</v>
      </c>
      <c r="E9" s="6">
        <v>1.15E-3</v>
      </c>
    </row>
    <row r="10" spans="1:5" x14ac:dyDescent="0.3">
      <c r="A10">
        <v>8</v>
      </c>
      <c r="B10" s="7">
        <v>-882800</v>
      </c>
      <c r="C10" s="7">
        <v>-266200</v>
      </c>
      <c r="D10" s="7">
        <v>-438900</v>
      </c>
      <c r="E10" s="6">
        <v>1.17E-3</v>
      </c>
    </row>
    <row r="11" spans="1:5" x14ac:dyDescent="0.3">
      <c r="A11">
        <v>9</v>
      </c>
      <c r="B11" s="7">
        <v>-864900</v>
      </c>
      <c r="C11" s="7">
        <v>-266900</v>
      </c>
      <c r="D11" s="7">
        <v>-444400</v>
      </c>
      <c r="E11" s="6">
        <v>1.15E-3</v>
      </c>
    </row>
    <row r="12" spans="1:5" x14ac:dyDescent="0.3">
      <c r="A12">
        <v>10</v>
      </c>
      <c r="B12" s="7">
        <v>-892300</v>
      </c>
      <c r="C12" s="7">
        <v>-253500</v>
      </c>
      <c r="D12" s="7">
        <v>-437800</v>
      </c>
      <c r="E12" s="6">
        <v>1.1800000000000001E-3</v>
      </c>
    </row>
    <row r="13" spans="1:5" x14ac:dyDescent="0.3">
      <c r="A13">
        <v>11</v>
      </c>
      <c r="B13" s="7">
        <v>-889800</v>
      </c>
      <c r="C13" s="7">
        <v>-254400</v>
      </c>
      <c r="D13" s="7">
        <v>-443500</v>
      </c>
      <c r="E13" s="6">
        <v>1.17E-3</v>
      </c>
    </row>
    <row r="14" spans="1:5" x14ac:dyDescent="0.3">
      <c r="A14">
        <v>12</v>
      </c>
      <c r="B14" s="7">
        <v>-884200</v>
      </c>
      <c r="C14" s="7">
        <v>-261600</v>
      </c>
      <c r="D14" s="7">
        <v>-446400</v>
      </c>
      <c r="E14" s="6">
        <v>1.15E-3</v>
      </c>
    </row>
    <row r="15" spans="1:5" x14ac:dyDescent="0.3">
      <c r="A15">
        <v>13</v>
      </c>
      <c r="B15" s="7">
        <v>-889900</v>
      </c>
      <c r="C15" s="7">
        <v>-254400</v>
      </c>
      <c r="D15" s="7">
        <v>-443500</v>
      </c>
      <c r="E15" s="6">
        <v>1.17E-3</v>
      </c>
    </row>
    <row r="16" spans="1:5" x14ac:dyDescent="0.3">
      <c r="A16">
        <v>14</v>
      </c>
      <c r="B16" s="7">
        <v>-884000</v>
      </c>
      <c r="C16" s="7">
        <v>-261700</v>
      </c>
      <c r="D16" s="7">
        <v>-446400</v>
      </c>
      <c r="E16" s="6">
        <v>1.15E-3</v>
      </c>
    </row>
    <row r="17" spans="1:5" x14ac:dyDescent="0.3">
      <c r="A17">
        <v>15</v>
      </c>
      <c r="B17" s="7">
        <v>-901800</v>
      </c>
      <c r="C17" s="7">
        <v>-251200</v>
      </c>
      <c r="D17" s="7">
        <v>-443200</v>
      </c>
      <c r="E17" s="6">
        <v>1.1800000000000001E-3</v>
      </c>
    </row>
    <row r="18" spans="1:5" x14ac:dyDescent="0.3">
      <c r="A18">
        <v>16</v>
      </c>
      <c r="B18" s="7">
        <v>-896800</v>
      </c>
      <c r="C18" s="7">
        <v>-252600</v>
      </c>
      <c r="D18" s="7">
        <v>-448700</v>
      </c>
      <c r="E18" s="6">
        <v>1.17E-3</v>
      </c>
    </row>
    <row r="19" spans="1:5" x14ac:dyDescent="0.3">
      <c r="A19">
        <v>17</v>
      </c>
      <c r="B19" s="7">
        <v>-889100</v>
      </c>
      <c r="C19" s="7">
        <v>-259800</v>
      </c>
      <c r="D19" s="7">
        <v>-451600</v>
      </c>
      <c r="E19" s="6">
        <v>1.15E-3</v>
      </c>
    </row>
    <row r="20" spans="1:5" x14ac:dyDescent="0.3">
      <c r="A20">
        <v>18</v>
      </c>
      <c r="B20" s="7">
        <v>-896900</v>
      </c>
      <c r="C20" s="7">
        <v>-252600</v>
      </c>
      <c r="D20" s="7">
        <v>-448700</v>
      </c>
      <c r="E20" s="6">
        <v>1.17E-3</v>
      </c>
    </row>
    <row r="21" spans="1:5" x14ac:dyDescent="0.3">
      <c r="A21">
        <v>19</v>
      </c>
      <c r="B21" s="7">
        <v>-888900</v>
      </c>
      <c r="C21" s="7">
        <v>-259900</v>
      </c>
      <c r="D21" s="7">
        <v>-451600</v>
      </c>
      <c r="E21" s="6">
        <v>1.15E-3</v>
      </c>
    </row>
    <row r="22" spans="1:5" x14ac:dyDescent="0.3">
      <c r="A22">
        <v>20</v>
      </c>
      <c r="B22" s="7">
        <v>-885300</v>
      </c>
      <c r="C22" s="7">
        <v>-264100</v>
      </c>
      <c r="D22" s="7">
        <v>-421900</v>
      </c>
      <c r="E22" s="6">
        <v>1.1800000000000001E-3</v>
      </c>
    </row>
    <row r="23" spans="1:5" x14ac:dyDescent="0.3">
      <c r="A23">
        <v>21</v>
      </c>
      <c r="B23" s="7">
        <v>-892700</v>
      </c>
      <c r="C23" s="7">
        <v>-263600</v>
      </c>
      <c r="D23" s="7">
        <v>-443700</v>
      </c>
      <c r="E23" s="6">
        <v>1.17E-3</v>
      </c>
    </row>
    <row r="24" spans="1:5" x14ac:dyDescent="0.3">
      <c r="A24">
        <v>22</v>
      </c>
      <c r="B24" s="7">
        <v>-871400</v>
      </c>
      <c r="C24" s="7">
        <v>-264300</v>
      </c>
      <c r="D24" s="7">
        <v>-449300</v>
      </c>
      <c r="E24" s="6">
        <v>1.15E-3</v>
      </c>
    </row>
    <row r="25" spans="1:5" x14ac:dyDescent="0.3">
      <c r="A25">
        <v>23</v>
      </c>
      <c r="B25" s="7">
        <v>-892800</v>
      </c>
      <c r="C25" s="7">
        <v>-263600</v>
      </c>
      <c r="D25" s="7">
        <v>-443700</v>
      </c>
      <c r="E25" s="6">
        <v>1.17E-3</v>
      </c>
    </row>
    <row r="26" spans="1:5" x14ac:dyDescent="0.3">
      <c r="A26">
        <v>24</v>
      </c>
      <c r="B26" s="7">
        <v>-871300</v>
      </c>
      <c r="C26" s="7">
        <v>-264400</v>
      </c>
      <c r="D26" s="7">
        <v>-449200</v>
      </c>
      <c r="E26" s="6">
        <v>1.15E-3</v>
      </c>
    </row>
    <row r="27" spans="1:5" x14ac:dyDescent="0.3">
      <c r="A27" t="s">
        <v>5</v>
      </c>
      <c r="B27" s="7">
        <f>AVERAGE(B2:B26)</f>
        <v>-887080</v>
      </c>
      <c r="C27" s="7">
        <f>AVERAGE(C2:C26)</f>
        <v>-260208</v>
      </c>
      <c r="D27" s="7">
        <f>AVERAGE(D2:D26)</f>
        <v>-443932</v>
      </c>
      <c r="E27" s="7">
        <f>AVERAGE(E2:E26)</f>
        <v>1.1640000000000003E-3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abSelected="1" workbookViewId="0">
      <selection activeCell="B1" sqref="B1:E1048576"/>
    </sheetView>
  </sheetViews>
  <sheetFormatPr defaultRowHeight="14.4" x14ac:dyDescent="0.3"/>
  <cols>
    <col min="1" max="1" width="13.5546875" customWidth="1"/>
    <col min="2" max="2" width="13.6640625" style="6" customWidth="1"/>
    <col min="3" max="3" width="13.33203125" style="6" customWidth="1"/>
    <col min="4" max="4" width="13" style="6" customWidth="1"/>
    <col min="5" max="5" width="13.5546875" style="6" customWidth="1"/>
    <col min="6" max="24" width="13.5546875" customWidth="1"/>
  </cols>
  <sheetData>
    <row r="1" spans="1:5" x14ac:dyDescent="0.3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>
        <v>0</v>
      </c>
      <c r="B2" s="7">
        <v>-790400</v>
      </c>
      <c r="C2" s="7">
        <v>-223400</v>
      </c>
      <c r="D2" s="7">
        <v>-389500</v>
      </c>
      <c r="E2" s="6">
        <v>1.33E-3</v>
      </c>
    </row>
    <row r="3" spans="1:5" x14ac:dyDescent="0.3">
      <c r="A3">
        <v>1</v>
      </c>
      <c r="B3" s="7">
        <v>-792700</v>
      </c>
      <c r="C3" s="7">
        <v>-224000</v>
      </c>
      <c r="D3" s="7">
        <v>-393900</v>
      </c>
      <c r="E3" s="6">
        <v>1.31E-3</v>
      </c>
    </row>
    <row r="4" spans="1:5" x14ac:dyDescent="0.3">
      <c r="A4">
        <v>2</v>
      </c>
      <c r="B4" s="7">
        <v>-774500</v>
      </c>
      <c r="C4" s="7">
        <v>-229800</v>
      </c>
      <c r="D4" s="7">
        <v>-395900</v>
      </c>
      <c r="E4" s="6">
        <v>1.2999999999999999E-3</v>
      </c>
    </row>
    <row r="5" spans="1:5" x14ac:dyDescent="0.3">
      <c r="A5">
        <v>3</v>
      </c>
      <c r="B5" s="7">
        <v>-792800</v>
      </c>
      <c r="C5" s="7">
        <v>-224000</v>
      </c>
      <c r="D5" s="7">
        <v>-393900</v>
      </c>
      <c r="E5" s="6">
        <v>1.31E-3</v>
      </c>
    </row>
    <row r="6" spans="1:5" x14ac:dyDescent="0.3">
      <c r="A6">
        <v>4</v>
      </c>
      <c r="B6" s="7">
        <v>-774400</v>
      </c>
      <c r="C6" s="7">
        <v>-229800</v>
      </c>
      <c r="D6" s="7">
        <v>-395900</v>
      </c>
      <c r="E6" s="6">
        <v>1.2999999999999999E-3</v>
      </c>
    </row>
    <row r="7" spans="1:5" x14ac:dyDescent="0.3">
      <c r="A7">
        <v>5</v>
      </c>
      <c r="B7" s="7">
        <v>-768800</v>
      </c>
      <c r="C7" s="7">
        <v>-229200</v>
      </c>
      <c r="D7" s="7">
        <v>-378800</v>
      </c>
      <c r="E7" s="7">
        <v>1.33E-3</v>
      </c>
    </row>
    <row r="8" spans="1:5" x14ac:dyDescent="0.3">
      <c r="A8">
        <v>6</v>
      </c>
      <c r="B8" s="7">
        <v>-776900</v>
      </c>
      <c r="C8" s="7">
        <v>-229100</v>
      </c>
      <c r="D8" s="7">
        <v>-395400</v>
      </c>
      <c r="E8" s="7">
        <v>1.31E-3</v>
      </c>
    </row>
    <row r="9" spans="1:5" x14ac:dyDescent="0.3">
      <c r="A9">
        <v>7</v>
      </c>
      <c r="B9" s="7">
        <v>-782300</v>
      </c>
      <c r="C9" s="7">
        <v>-229800</v>
      </c>
      <c r="D9" s="7">
        <v>-399700</v>
      </c>
      <c r="E9" s="6">
        <v>1.2999999999999999E-3</v>
      </c>
    </row>
    <row r="10" spans="1:5" x14ac:dyDescent="0.3">
      <c r="A10">
        <v>8</v>
      </c>
      <c r="B10" s="7">
        <v>-777000</v>
      </c>
      <c r="C10" s="7">
        <v>-229100</v>
      </c>
      <c r="D10" s="7">
        <v>-395400</v>
      </c>
      <c r="E10" s="6">
        <v>1.31E-3</v>
      </c>
    </row>
    <row r="11" spans="1:5" x14ac:dyDescent="0.3">
      <c r="A11">
        <v>9</v>
      </c>
      <c r="B11" s="7">
        <v>-782200</v>
      </c>
      <c r="C11" s="7">
        <v>-229900</v>
      </c>
      <c r="D11" s="7">
        <v>-399700</v>
      </c>
      <c r="E11" s="6">
        <v>1.2999999999999999E-3</v>
      </c>
    </row>
    <row r="12" spans="1:5" x14ac:dyDescent="0.3">
      <c r="A12">
        <v>10</v>
      </c>
      <c r="B12" s="7">
        <v>-785300</v>
      </c>
      <c r="C12" s="7">
        <v>-218500</v>
      </c>
      <c r="D12" s="7">
        <v>-395000</v>
      </c>
      <c r="E12" s="6">
        <v>1.33E-3</v>
      </c>
    </row>
    <row r="13" spans="1:5" x14ac:dyDescent="0.3">
      <c r="A13">
        <v>11</v>
      </c>
      <c r="B13" s="7">
        <v>-804400</v>
      </c>
      <c r="C13" s="7">
        <v>-224800</v>
      </c>
      <c r="D13" s="7">
        <v>-385200</v>
      </c>
      <c r="E13" s="6">
        <v>1.31E-3</v>
      </c>
    </row>
    <row r="14" spans="1:5" x14ac:dyDescent="0.3">
      <c r="A14">
        <v>12</v>
      </c>
      <c r="B14" s="7">
        <v>-782000</v>
      </c>
      <c r="C14" s="7">
        <v>-225600</v>
      </c>
      <c r="D14" s="7">
        <v>-389500</v>
      </c>
      <c r="E14" s="6">
        <v>1.2999999999999999E-3</v>
      </c>
    </row>
    <row r="15" spans="1:5" x14ac:dyDescent="0.3">
      <c r="A15">
        <v>13</v>
      </c>
      <c r="B15" s="7">
        <v>-804600</v>
      </c>
      <c r="C15" s="7">
        <v>-224800</v>
      </c>
      <c r="D15" s="7">
        <v>-385200</v>
      </c>
      <c r="E15" s="6">
        <v>1.31E-3</v>
      </c>
    </row>
    <row r="16" spans="1:5" x14ac:dyDescent="0.3">
      <c r="A16">
        <v>14</v>
      </c>
      <c r="B16" s="7">
        <v>-781800</v>
      </c>
      <c r="C16" s="7">
        <v>-225600</v>
      </c>
      <c r="D16" s="7">
        <v>-389500</v>
      </c>
      <c r="E16" s="6">
        <v>1.2999999999999999E-3</v>
      </c>
    </row>
    <row r="17" spans="1:5" x14ac:dyDescent="0.3">
      <c r="A17">
        <v>15</v>
      </c>
      <c r="B17" s="7">
        <v>-790400</v>
      </c>
      <c r="C17" s="7">
        <v>-223200</v>
      </c>
      <c r="D17" s="7">
        <v>-372800</v>
      </c>
      <c r="E17" s="6">
        <v>1.33E-3</v>
      </c>
    </row>
    <row r="18" spans="1:5" x14ac:dyDescent="0.3">
      <c r="A18">
        <v>16</v>
      </c>
      <c r="B18" s="7">
        <v>-808500</v>
      </c>
      <c r="C18" s="7">
        <v>-224100</v>
      </c>
      <c r="D18" s="7">
        <v>-389600</v>
      </c>
      <c r="E18" s="6">
        <v>1.31E-3</v>
      </c>
    </row>
    <row r="19" spans="1:5" x14ac:dyDescent="0.3">
      <c r="A19">
        <v>17</v>
      </c>
      <c r="B19" s="7">
        <v>-785100</v>
      </c>
      <c r="C19" s="7">
        <v>-225000</v>
      </c>
      <c r="D19" s="7">
        <v>-394000</v>
      </c>
      <c r="E19" s="6">
        <v>1.2999999999999999E-3</v>
      </c>
    </row>
    <row r="20" spans="1:5" x14ac:dyDescent="0.3">
      <c r="A20">
        <v>18</v>
      </c>
      <c r="B20" s="7">
        <v>-808600</v>
      </c>
      <c r="C20" s="7">
        <v>-224100</v>
      </c>
      <c r="D20" s="7">
        <v>-389600</v>
      </c>
      <c r="E20" s="6">
        <v>1.31E-3</v>
      </c>
    </row>
    <row r="21" spans="1:5" x14ac:dyDescent="0.3">
      <c r="A21">
        <v>19</v>
      </c>
      <c r="B21" s="7">
        <v>-785000</v>
      </c>
      <c r="C21" s="7">
        <v>-225100</v>
      </c>
      <c r="D21" s="7">
        <v>-393900</v>
      </c>
      <c r="E21" s="6">
        <v>1.2999999999999999E-3</v>
      </c>
    </row>
    <row r="22" spans="1:5" x14ac:dyDescent="0.3">
      <c r="A22">
        <v>20</v>
      </c>
      <c r="B22" s="7">
        <v>-776100</v>
      </c>
      <c r="C22" s="7">
        <v>-227500</v>
      </c>
      <c r="D22" s="7">
        <v>-383200</v>
      </c>
      <c r="E22" s="6">
        <v>1.33E-3</v>
      </c>
    </row>
    <row r="23" spans="1:5" x14ac:dyDescent="0.3">
      <c r="A23">
        <v>21</v>
      </c>
      <c r="B23" s="7">
        <v>-783000</v>
      </c>
      <c r="C23" s="7">
        <v>-227700</v>
      </c>
      <c r="D23" s="7">
        <v>-387800</v>
      </c>
      <c r="E23" s="6">
        <v>1.31E-3</v>
      </c>
    </row>
    <row r="24" spans="1:5" x14ac:dyDescent="0.3">
      <c r="A24">
        <v>22</v>
      </c>
      <c r="B24" s="7">
        <v>-786800</v>
      </c>
      <c r="C24" s="7">
        <v>-233400</v>
      </c>
      <c r="D24" s="7">
        <v>-389800</v>
      </c>
      <c r="E24" s="6">
        <v>1.2999999999999999E-3</v>
      </c>
    </row>
    <row r="25" spans="1:5" x14ac:dyDescent="0.3">
      <c r="A25">
        <v>23</v>
      </c>
      <c r="B25" s="7">
        <v>-783100</v>
      </c>
      <c r="C25" s="7">
        <v>-227700</v>
      </c>
      <c r="D25" s="7">
        <v>-387800</v>
      </c>
      <c r="E25" s="6">
        <v>1.31E-3</v>
      </c>
    </row>
    <row r="26" spans="1:5" x14ac:dyDescent="0.3">
      <c r="A26">
        <v>24</v>
      </c>
      <c r="B26" s="7">
        <v>-786800</v>
      </c>
      <c r="C26" s="7">
        <v>-233500</v>
      </c>
      <c r="D26" s="7">
        <v>-389800</v>
      </c>
      <c r="E26" s="6">
        <v>1.2999999999999999E-3</v>
      </c>
    </row>
    <row r="27" spans="1:5" x14ac:dyDescent="0.3">
      <c r="A27" t="s">
        <v>5</v>
      </c>
      <c r="B27" s="7">
        <f>AVERAGE(B2:B26)</f>
        <v>-786540</v>
      </c>
      <c r="C27" s="7">
        <f>AVERAGE(C2:C26)</f>
        <v>-226748</v>
      </c>
      <c r="D27" s="7">
        <f>AVERAGE(D2:D26)</f>
        <v>-390432</v>
      </c>
      <c r="E27" s="7">
        <f>AVERAGE(E2:E26)</f>
        <v>1.3099999999999997E-3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Double_conical</vt:lpstr>
      <vt:lpstr>Single_conical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2026-09-08T01:47:22Z</dcterms:created>
  <dcterms:modified xsi:type="dcterms:W3CDTF">2026-09-08T02:26:40Z</dcterms:modified>
  <cp:category/>
</cp:coreProperties>
</file>