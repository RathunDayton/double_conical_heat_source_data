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25A78F4-BFE7-4932-8B03-FE88AF18D6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" sheetId="1" r:id="rId1"/>
    <sheet name="Depth" sheetId="2" r:id="rId2"/>
    <sheet name="Overlap_depth" sheetId="3" r:id="rId3"/>
    <sheet name="Width" sheetId="4" r:id="rId4"/>
    <sheet name="Overlap_width" sheetId="5" r:id="rId5"/>
    <sheet name="erro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6" l="1"/>
  <c r="E8" i="6"/>
  <c r="G7" i="6"/>
  <c r="E7" i="6"/>
  <c r="G6" i="6"/>
  <c r="E6" i="6"/>
  <c r="G5" i="6"/>
  <c r="E5" i="6"/>
  <c r="G4" i="6"/>
  <c r="E4" i="6"/>
  <c r="G3" i="6"/>
  <c r="E3" i="6"/>
</calcChain>
</file>

<file path=xl/sharedStrings.xml><?xml version="1.0" encoding="utf-8"?>
<sst xmlns="http://schemas.openxmlformats.org/spreadsheetml/2006/main" count="59" uniqueCount="47">
  <si>
    <t>Item</t>
  </si>
  <si>
    <t>Information</t>
  </si>
  <si>
    <t>Online Resource</t>
  </si>
  <si>
    <t>ESM_15</t>
  </si>
  <si>
    <t>Benchmark</t>
  </si>
  <si>
    <t>NIST AM-Bench 2022</t>
  </si>
  <si>
    <t>Simulation case</t>
  </si>
  <si>
    <t>XPad multi-track</t>
  </si>
  <si>
    <t>Heat-source models</t>
  </si>
  <si>
    <t>Single-conical and Double Conical Heat Source (DCHS)</t>
  </si>
  <si>
    <t>Number of simulated tracks</t>
  </si>
  <si>
    <t>Track length</t>
  </si>
  <si>
    <t>2 mm</t>
  </si>
  <si>
    <t>Hatch spacing</t>
  </si>
  <si>
    <t>110 µm</t>
  </si>
  <si>
    <t>Laser power</t>
  </si>
  <si>
    <t>285 W</t>
  </si>
  <si>
    <t>Scan speed</t>
  </si>
  <si>
    <t>960 mm/s</t>
  </si>
  <si>
    <t>Laser spot diameter</t>
  </si>
  <si>
    <t>67 µm</t>
  </si>
  <si>
    <t>Turnaround time</t>
  </si>
  <si>
    <t>5 ms after odd-numbered tracks and 40 ms after even-numbered tracks</t>
  </si>
  <si>
    <t>Data included</t>
  </si>
  <si>
    <t>Purpose</t>
  </si>
  <si>
    <t>Related simulation videos</t>
  </si>
  <si>
    <t>ESM_3 and ESM_4</t>
  </si>
  <si>
    <t>Related temperature-history videos</t>
  </si>
  <si>
    <t>ESM_10 and ESM_11</t>
  </si>
  <si>
    <t>Note</t>
  </si>
  <si>
    <t>All dimensional quantities are reported in µm unless otherwise specified. The data support the AM-Bench 2022 XPad multi-track validation presented in the main manuscript.</t>
  </si>
  <si>
    <t>Track id</t>
  </si>
  <si>
    <t>Single conical</t>
  </si>
  <si>
    <t>Double Conical</t>
  </si>
  <si>
    <t>Experiment standard deviation (%)</t>
  </si>
  <si>
    <t>Double conical</t>
  </si>
  <si>
    <t>Experiment</t>
  </si>
  <si>
    <t>Simulation</t>
  </si>
  <si>
    <t>% Error</t>
  </si>
  <si>
    <t xml:space="preserve">Pad depth (µm) </t>
  </si>
  <si>
    <t xml:space="preserve">Pad overlap depth (µm) </t>
  </si>
  <si>
    <t xml:space="preserve">Pad width (µm) </t>
  </si>
  <si>
    <t xml:space="preserve">Pad overlap width (µm) </t>
  </si>
  <si>
    <t>Time Above Melt (s)</t>
  </si>
  <si>
    <t>Solid Cooling Rate (°C/s)</t>
  </si>
  <si>
    <t>Pad depth, overlap depth, pad width, overlap width, and error data</t>
  </si>
  <si>
    <t>AM-Bench 2022 XPad multi-track validation and comparison of single-conical and double conical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</si>
</sst>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rgb="FFFFFFFF"/>
      <name val="Calibri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2" fillId="3" borderId="0" xfId="0" applyNumberFormat="1" applyFont="1" applyFill="1" applyAlignment="1">
      <alignment horizontal="center" vertical="center" wrapText="1"/>
    </xf>
    <xf numFmtId="4" fontId="2" fillId="4" borderId="0" xfId="0" applyNumberFormat="1" applyFont="1" applyFill="1" applyAlignment="1">
      <alignment vertical="top" wrapText="1"/>
    </xf>
    <xf numFmtId="4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2" fontId="3" fillId="0" borderId="0" xfId="0" applyNumberFormat="1" applyFont="1"/>
    <xf numFmtId="4" fontId="1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49" fontId="2" fillId="0" borderId="0" xfId="0" applyNumberFormat="1" applyFont="1" applyAlignment="1">
      <alignment wrapText="1"/>
    </xf>
    <xf numFmtId="4" fontId="4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A19" sqref="A19"/>
    </sheetView>
  </sheetViews>
  <sheetFormatPr defaultRowHeight="14.4" x14ac:dyDescent="0.3"/>
  <cols>
    <col min="1" max="1" width="34.88671875" customWidth="1"/>
    <col min="2" max="2" width="75.33203125" customWidth="1"/>
    <col min="3" max="26" width="13.5546875" customWidth="1"/>
  </cols>
  <sheetData>
    <row r="1" spans="1:2" ht="18" x14ac:dyDescent="0.3">
      <c r="A1" s="6"/>
      <c r="B1" s="6"/>
    </row>
    <row r="2" spans="1:2" x14ac:dyDescent="0.3">
      <c r="A2" s="1" t="s">
        <v>0</v>
      </c>
      <c r="B2" s="1" t="s">
        <v>1</v>
      </c>
    </row>
    <row r="3" spans="1:2" x14ac:dyDescent="0.3">
      <c r="A3" s="2" t="s">
        <v>2</v>
      </c>
      <c r="B3" s="3" t="s">
        <v>3</v>
      </c>
    </row>
    <row r="4" spans="1:2" x14ac:dyDescent="0.3">
      <c r="A4" s="2" t="s">
        <v>4</v>
      </c>
      <c r="B4" s="3" t="s">
        <v>5</v>
      </c>
    </row>
    <row r="5" spans="1:2" x14ac:dyDescent="0.3">
      <c r="A5" s="2" t="s">
        <v>6</v>
      </c>
      <c r="B5" s="3" t="s">
        <v>7</v>
      </c>
    </row>
    <row r="6" spans="1:2" x14ac:dyDescent="0.3">
      <c r="A6" s="2" t="s">
        <v>8</v>
      </c>
      <c r="B6" s="3" t="s">
        <v>9</v>
      </c>
    </row>
    <row r="7" spans="1:2" x14ac:dyDescent="0.3">
      <c r="A7" s="2" t="s">
        <v>10</v>
      </c>
      <c r="B7" s="9">
        <v>10</v>
      </c>
    </row>
    <row r="8" spans="1:2" x14ac:dyDescent="0.3">
      <c r="A8" s="2" t="s">
        <v>11</v>
      </c>
      <c r="B8" s="3" t="s">
        <v>12</v>
      </c>
    </row>
    <row r="9" spans="1:2" x14ac:dyDescent="0.3">
      <c r="A9" s="2" t="s">
        <v>13</v>
      </c>
      <c r="B9" s="3" t="s">
        <v>14</v>
      </c>
    </row>
    <row r="10" spans="1:2" x14ac:dyDescent="0.3">
      <c r="A10" s="2" t="s">
        <v>15</v>
      </c>
      <c r="B10" s="3" t="s">
        <v>16</v>
      </c>
    </row>
    <row r="11" spans="1:2" x14ac:dyDescent="0.3">
      <c r="A11" s="2" t="s">
        <v>17</v>
      </c>
      <c r="B11" s="3" t="s">
        <v>18</v>
      </c>
    </row>
    <row r="12" spans="1:2" x14ac:dyDescent="0.3">
      <c r="A12" s="2" t="s">
        <v>19</v>
      </c>
      <c r="B12" s="3" t="s">
        <v>20</v>
      </c>
    </row>
    <row r="13" spans="1:2" x14ac:dyDescent="0.3">
      <c r="A13" s="2" t="s">
        <v>21</v>
      </c>
      <c r="B13" s="3" t="s">
        <v>22</v>
      </c>
    </row>
    <row r="14" spans="1:2" x14ac:dyDescent="0.3">
      <c r="A14" s="2" t="s">
        <v>23</v>
      </c>
      <c r="B14" s="10" t="s">
        <v>45</v>
      </c>
    </row>
    <row r="15" spans="1:2" ht="28.8" x14ac:dyDescent="0.3">
      <c r="A15" s="2" t="s">
        <v>24</v>
      </c>
      <c r="B15" s="10" t="s">
        <v>46</v>
      </c>
    </row>
    <row r="16" spans="1:2" x14ac:dyDescent="0.3">
      <c r="A16" s="2" t="s">
        <v>25</v>
      </c>
      <c r="B16" s="3" t="s">
        <v>26</v>
      </c>
    </row>
    <row r="17" spans="1:2" x14ac:dyDescent="0.3">
      <c r="A17" s="2" t="s">
        <v>27</v>
      </c>
      <c r="B17" s="3" t="s">
        <v>28</v>
      </c>
    </row>
    <row r="18" spans="1:2" ht="30.6" customHeight="1" x14ac:dyDescent="0.3">
      <c r="A18" s="2" t="s">
        <v>29</v>
      </c>
      <c r="B18" s="3" t="s">
        <v>30</v>
      </c>
    </row>
    <row r="19" spans="1:2" x14ac:dyDescent="0.3">
      <c r="A19" s="4"/>
      <c r="B19" s="4"/>
    </row>
    <row r="20" spans="1:2" x14ac:dyDescent="0.3">
      <c r="A20" s="4"/>
      <c r="B20" s="4"/>
    </row>
    <row r="21" spans="1:2" x14ac:dyDescent="0.3">
      <c r="A21" s="4"/>
      <c r="B21" s="4"/>
    </row>
    <row r="22" spans="1:2" x14ac:dyDescent="0.3">
      <c r="A22" s="4"/>
      <c r="B22" s="4"/>
    </row>
    <row r="23" spans="1:2" x14ac:dyDescent="0.3">
      <c r="A23" s="4"/>
      <c r="B23" s="4"/>
    </row>
    <row r="24" spans="1:2" x14ac:dyDescent="0.3">
      <c r="A24" s="4"/>
      <c r="B24" s="4"/>
    </row>
    <row r="25" spans="1:2" x14ac:dyDescent="0.3">
      <c r="A25" s="4"/>
      <c r="B25" s="4"/>
    </row>
    <row r="26" spans="1:2" x14ac:dyDescent="0.3">
      <c r="A26" s="4"/>
      <c r="B26" s="4"/>
    </row>
    <row r="27" spans="1:2" x14ac:dyDescent="0.3">
      <c r="A27" s="4"/>
      <c r="B27" s="4"/>
    </row>
    <row r="28" spans="1:2" x14ac:dyDescent="0.3">
      <c r="A28" s="4"/>
      <c r="B28" s="4"/>
    </row>
    <row r="29" spans="1:2" x14ac:dyDescent="0.3">
      <c r="A29" s="4"/>
      <c r="B29" s="4"/>
    </row>
    <row r="30" spans="1:2" x14ac:dyDescent="0.3">
      <c r="A30" s="4"/>
      <c r="B30" s="4"/>
    </row>
    <row r="31" spans="1:2" x14ac:dyDescent="0.3">
      <c r="A31" s="4"/>
      <c r="B31" s="4"/>
    </row>
    <row r="32" spans="1:2" x14ac:dyDescent="0.3">
      <c r="A32" s="4"/>
      <c r="B32" s="4"/>
    </row>
    <row r="33" spans="1:2" x14ac:dyDescent="0.3">
      <c r="A33" s="4"/>
      <c r="B33" s="4"/>
    </row>
    <row r="34" spans="1:2" x14ac:dyDescent="0.3">
      <c r="A34" s="4"/>
      <c r="B34" s="4"/>
    </row>
    <row r="35" spans="1:2" x14ac:dyDescent="0.3">
      <c r="A35" s="4"/>
      <c r="B35" s="4"/>
    </row>
    <row r="36" spans="1:2" x14ac:dyDescent="0.3">
      <c r="A36" s="4"/>
      <c r="B36" s="4"/>
    </row>
    <row r="37" spans="1:2" x14ac:dyDescent="0.3">
      <c r="A37" s="4"/>
      <c r="B37" s="4"/>
    </row>
    <row r="38" spans="1:2" x14ac:dyDescent="0.3">
      <c r="A38" s="4"/>
      <c r="B38" s="4"/>
    </row>
    <row r="39" spans="1:2" x14ac:dyDescent="0.3">
      <c r="A39" s="4"/>
      <c r="B39" s="4"/>
    </row>
    <row r="40" spans="1:2" x14ac:dyDescent="0.3">
      <c r="A40" s="4"/>
      <c r="B40" s="4"/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/>
  </sheetViews>
  <sheetFormatPr defaultRowHeight="14.4" x14ac:dyDescent="0.3"/>
  <cols>
    <col min="1" max="1" width="15.6640625" customWidth="1"/>
    <col min="2" max="24" width="13.5546875" customWidth="1"/>
  </cols>
  <sheetData>
    <row r="1" spans="1:11" x14ac:dyDescent="0.3">
      <c r="A1" t="s">
        <v>31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32</v>
      </c>
      <c r="B2">
        <v>141.27000000000001</v>
      </c>
      <c r="C2">
        <v>142.78</v>
      </c>
      <c r="D2">
        <v>155.54</v>
      </c>
      <c r="E2">
        <v>152.62</v>
      </c>
      <c r="F2">
        <v>156.46</v>
      </c>
      <c r="G2">
        <v>153.12</v>
      </c>
      <c r="H2">
        <v>156.81</v>
      </c>
      <c r="I2">
        <v>153.47999999999999</v>
      </c>
      <c r="J2">
        <v>165.9</v>
      </c>
      <c r="K2">
        <v>162.54</v>
      </c>
    </row>
    <row r="3" spans="1:11" x14ac:dyDescent="0.3">
      <c r="A3" t="s">
        <v>33</v>
      </c>
      <c r="B3">
        <v>141.30000000000001</v>
      </c>
      <c r="C3">
        <v>142.1</v>
      </c>
      <c r="D3">
        <v>154.19999999999999</v>
      </c>
      <c r="E3">
        <v>151.5</v>
      </c>
      <c r="F3">
        <v>154.80000000000001</v>
      </c>
      <c r="G3">
        <v>151.69999999999999</v>
      </c>
      <c r="H3">
        <v>154.9</v>
      </c>
      <c r="I3">
        <v>151.80000000000001</v>
      </c>
      <c r="J3">
        <v>164</v>
      </c>
      <c r="K3">
        <v>160.80000000000001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4.4" x14ac:dyDescent="0.3"/>
  <cols>
    <col min="1" max="1" width="30.6640625" customWidth="1"/>
    <col min="2" max="24" width="13.5546875" customWidth="1"/>
  </cols>
  <sheetData>
    <row r="1" spans="1:10" x14ac:dyDescent="0.3">
      <c r="A1" t="s">
        <v>31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">
      <c r="A2" t="s">
        <v>32</v>
      </c>
      <c r="B2">
        <v>80.150000000000006</v>
      </c>
      <c r="C2">
        <v>97.79</v>
      </c>
      <c r="D2">
        <v>98.45</v>
      </c>
      <c r="E2">
        <v>103.84</v>
      </c>
      <c r="F2">
        <v>101.71</v>
      </c>
      <c r="G2">
        <v>105.71</v>
      </c>
      <c r="H2">
        <v>103.17</v>
      </c>
      <c r="I2">
        <v>109.1</v>
      </c>
      <c r="J2">
        <v>107.58</v>
      </c>
    </row>
    <row r="3" spans="1:10" x14ac:dyDescent="0.3">
      <c r="A3" t="s">
        <v>33</v>
      </c>
      <c r="B3">
        <v>59.7</v>
      </c>
      <c r="C3">
        <v>75.900000000000006</v>
      </c>
      <c r="D3">
        <v>75.2</v>
      </c>
      <c r="E3">
        <v>80.8</v>
      </c>
      <c r="F3">
        <v>77.900000000000006</v>
      </c>
      <c r="G3">
        <v>82</v>
      </c>
      <c r="H3">
        <v>79.099999999999994</v>
      </c>
      <c r="I3">
        <v>83.8</v>
      </c>
      <c r="J3">
        <v>81.3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/>
  </sheetViews>
  <sheetFormatPr defaultRowHeight="14.4" x14ac:dyDescent="0.3"/>
  <cols>
    <col min="1" max="1" width="18.44140625" customWidth="1"/>
    <col min="2" max="24" width="13.5546875" customWidth="1"/>
  </cols>
  <sheetData>
    <row r="1" spans="1:11" x14ac:dyDescent="0.3">
      <c r="A1" t="s">
        <v>31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32</v>
      </c>
      <c r="B2">
        <v>68.91</v>
      </c>
      <c r="C2">
        <v>72.260000000000005</v>
      </c>
      <c r="D2">
        <v>85.63</v>
      </c>
      <c r="E2">
        <v>74.430000000000007</v>
      </c>
      <c r="F2">
        <v>88.34</v>
      </c>
      <c r="G2">
        <v>75.08</v>
      </c>
      <c r="H2">
        <v>89.19</v>
      </c>
      <c r="I2">
        <v>75.680000000000007</v>
      </c>
      <c r="J2">
        <v>89.87</v>
      </c>
      <c r="K2">
        <v>76.400000000000006</v>
      </c>
    </row>
    <row r="3" spans="1:11" x14ac:dyDescent="0.3">
      <c r="A3" t="s">
        <v>33</v>
      </c>
      <c r="B3">
        <v>67.7</v>
      </c>
      <c r="C3">
        <v>70.599999999999994</v>
      </c>
      <c r="D3">
        <v>81.3</v>
      </c>
      <c r="E3">
        <v>73.459999999999994</v>
      </c>
      <c r="F3">
        <v>83.8</v>
      </c>
      <c r="G3">
        <v>74.3</v>
      </c>
      <c r="H3">
        <v>84.7</v>
      </c>
      <c r="I3">
        <v>75</v>
      </c>
      <c r="J3">
        <v>85.5</v>
      </c>
      <c r="K3">
        <v>75.5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/>
  </sheetViews>
  <sheetFormatPr defaultRowHeight="14.4" x14ac:dyDescent="0.3"/>
  <cols>
    <col min="1" max="1" width="20.33203125" customWidth="1"/>
    <col min="2" max="24" width="13.5546875" customWidth="1"/>
  </cols>
  <sheetData>
    <row r="1" spans="1:10" x14ac:dyDescent="0.3">
      <c r="A1" t="s">
        <v>31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">
      <c r="A2" t="s">
        <v>32</v>
      </c>
      <c r="B2">
        <v>106.58</v>
      </c>
      <c r="C2">
        <v>96.65</v>
      </c>
      <c r="D2">
        <v>121.15</v>
      </c>
      <c r="E2">
        <v>96.14</v>
      </c>
      <c r="F2">
        <v>123.16</v>
      </c>
      <c r="G2">
        <v>96.01</v>
      </c>
      <c r="H2">
        <v>123.47</v>
      </c>
      <c r="I2">
        <v>95.74</v>
      </c>
      <c r="J2">
        <v>123.56</v>
      </c>
    </row>
    <row r="3" spans="1:10" x14ac:dyDescent="0.3">
      <c r="A3" t="s">
        <v>33</v>
      </c>
      <c r="B3">
        <v>107.1</v>
      </c>
      <c r="C3">
        <v>99.26</v>
      </c>
      <c r="D3">
        <v>118.17</v>
      </c>
      <c r="E3">
        <v>99.38</v>
      </c>
      <c r="F3">
        <v>119.5</v>
      </c>
      <c r="G3">
        <v>99.6</v>
      </c>
      <c r="H3">
        <v>119.77</v>
      </c>
      <c r="I3">
        <v>99.47</v>
      </c>
      <c r="J3">
        <v>119.98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/>
  </sheetViews>
  <sheetFormatPr defaultRowHeight="14.4" x14ac:dyDescent="0.3"/>
  <cols>
    <col min="1" max="24" width="13.5546875" customWidth="1"/>
  </cols>
  <sheetData>
    <row r="1" spans="1:7" x14ac:dyDescent="0.3">
      <c r="C1" s="8" t="s">
        <v>34</v>
      </c>
      <c r="D1" s="7" t="s">
        <v>35</v>
      </c>
      <c r="E1" s="7"/>
      <c r="F1" s="7" t="s">
        <v>32</v>
      </c>
      <c r="G1" s="7"/>
    </row>
    <row r="2" spans="1:7" x14ac:dyDescent="0.3">
      <c r="B2" t="s">
        <v>36</v>
      </c>
      <c r="C2" s="8"/>
      <c r="D2" t="s">
        <v>37</v>
      </c>
      <c r="E2" t="s">
        <v>38</v>
      </c>
      <c r="F2" t="s">
        <v>37</v>
      </c>
      <c r="G2" t="s">
        <v>38</v>
      </c>
    </row>
    <row r="3" spans="1:7" x14ac:dyDescent="0.3">
      <c r="A3" t="s">
        <v>39</v>
      </c>
      <c r="B3" s="5">
        <v>159.6</v>
      </c>
      <c r="C3" s="5">
        <v>3.3834586466165417</v>
      </c>
      <c r="D3" s="5">
        <v>164.61</v>
      </c>
      <c r="E3" s="5">
        <f t="shared" ref="E3:E8" si="0">ABS((D3-B3)/B3*100)</f>
        <v>3.1390977443609143</v>
      </c>
      <c r="F3" s="5">
        <v>167.1</v>
      </c>
      <c r="G3" s="5">
        <f t="shared" ref="G3:G8" si="1">ABS((F3-B3)/B3*100)</f>
        <v>4.6992481203007523</v>
      </c>
    </row>
    <row r="4" spans="1:7" x14ac:dyDescent="0.3">
      <c r="A4" t="s">
        <v>40</v>
      </c>
      <c r="B4" s="5">
        <v>83.9</v>
      </c>
      <c r="C4" s="5">
        <v>15.137067938021453</v>
      </c>
      <c r="D4" s="5">
        <v>81.47</v>
      </c>
      <c r="E4" s="5">
        <f t="shared" si="0"/>
        <v>2.8963051251489946</v>
      </c>
      <c r="F4" s="5">
        <v>107.39</v>
      </c>
      <c r="G4" s="5">
        <f t="shared" si="1"/>
        <v>27.997616209773529</v>
      </c>
    </row>
    <row r="5" spans="1:7" x14ac:dyDescent="0.3">
      <c r="A5" t="s">
        <v>41</v>
      </c>
      <c r="B5" s="5">
        <v>93.1</v>
      </c>
      <c r="C5" s="5">
        <v>4.9409237379162185</v>
      </c>
      <c r="D5" s="5">
        <v>80.38</v>
      </c>
      <c r="E5" s="5">
        <f t="shared" si="0"/>
        <v>13.662728249194414</v>
      </c>
      <c r="F5" s="5">
        <v>82.62</v>
      </c>
      <c r="G5" s="5">
        <f t="shared" si="1"/>
        <v>11.256713211600418</v>
      </c>
    </row>
    <row r="6" spans="1:7" x14ac:dyDescent="0.3">
      <c r="A6" t="s">
        <v>42</v>
      </c>
      <c r="B6" s="5">
        <v>104.55</v>
      </c>
      <c r="C6" s="5">
        <v>14.82544237207078</v>
      </c>
      <c r="D6" s="5">
        <v>114.08</v>
      </c>
      <c r="E6" s="5">
        <f t="shared" si="0"/>
        <v>9.1152558584409391</v>
      </c>
      <c r="F6" s="5">
        <v>115.35</v>
      </c>
      <c r="G6" s="5">
        <f t="shared" si="1"/>
        <v>10.329985652797703</v>
      </c>
    </row>
    <row r="7" spans="1:7" x14ac:dyDescent="0.3">
      <c r="A7" t="s">
        <v>43</v>
      </c>
      <c r="B7" s="5">
        <v>1.1999999999999999E-3</v>
      </c>
      <c r="C7" s="5">
        <v>18.666666666666668</v>
      </c>
      <c r="D7" s="5">
        <v>1.1999999999999999E-3</v>
      </c>
      <c r="E7" s="5">
        <f t="shared" si="0"/>
        <v>0</v>
      </c>
      <c r="F7" s="5">
        <v>1.3699999999999999E-3</v>
      </c>
      <c r="G7" s="5">
        <f t="shared" si="1"/>
        <v>14.16666666666667</v>
      </c>
    </row>
    <row r="8" spans="1:7" x14ac:dyDescent="0.3">
      <c r="A8" t="s">
        <v>44</v>
      </c>
      <c r="B8" s="5">
        <v>324000</v>
      </c>
      <c r="C8" s="5">
        <v>53.086419753086425</v>
      </c>
      <c r="D8" s="5">
        <v>483000</v>
      </c>
      <c r="E8" s="5">
        <f t="shared" si="0"/>
        <v>49.074074074074076</v>
      </c>
      <c r="F8" s="5">
        <v>420000</v>
      </c>
      <c r="G8" s="5">
        <f t="shared" si="1"/>
        <v>29.629629629629626</v>
      </c>
    </row>
  </sheetData>
  <mergeCells count="3">
    <mergeCell ref="D1:E1"/>
    <mergeCell ref="F1:G1"/>
    <mergeCell ref="C1:C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Depth</vt:lpstr>
      <vt:lpstr>Overlap_depth</vt:lpstr>
      <vt:lpstr>Width</vt:lpstr>
      <vt:lpstr>Overlap_width</vt:lpstr>
      <vt:lpstr>errors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2026-09-08T01:44:17Z</dcterms:created>
  <dcterms:modified xsi:type="dcterms:W3CDTF">2026-09-08T02:09:48Z</dcterms:modified>
  <cp:category/>
</cp:coreProperties>
</file>